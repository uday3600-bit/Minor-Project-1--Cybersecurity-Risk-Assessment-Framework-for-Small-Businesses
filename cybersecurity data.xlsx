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7B12F16-5576-4D8A-B2CF-4ECA11161C8A}" xr6:coauthVersionLast="47" xr6:coauthVersionMax="47" xr10:uidLastSave="{00000000-0000-0000-0000-000000000000}"/>
  <bookViews>
    <workbookView xWindow="-108" yWindow="-108" windowWidth="23256" windowHeight="12456" xr2:uid="{CFC08D05-537B-4A5A-8F72-71F06C1C7C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F3" i="1"/>
  <c r="F4" i="1"/>
  <c r="F5" i="1"/>
  <c r="F6" i="1"/>
  <c r="F7" i="1"/>
  <c r="G7" i="1" s="1"/>
  <c r="F2" i="1"/>
  <c r="G2" i="1" s="1"/>
</calcChain>
</file>

<file path=xl/sharedStrings.xml><?xml version="1.0" encoding="utf-8"?>
<sst xmlns="http://schemas.openxmlformats.org/spreadsheetml/2006/main" count="34" uniqueCount="34">
  <si>
    <t>Asset</t>
  </si>
  <si>
    <t>Threat</t>
  </si>
  <si>
    <t>Vulnerability</t>
  </si>
  <si>
    <t>Likelihood</t>
  </si>
  <si>
    <t>Impact</t>
  </si>
  <si>
    <t>Risk Score=(likelihood * impact)</t>
  </si>
  <si>
    <t>Risk Level</t>
  </si>
  <si>
    <t>Email System</t>
  </si>
  <si>
    <t>Phishing</t>
  </si>
  <si>
    <t>No training</t>
  </si>
  <si>
    <t>Weak passwords</t>
  </si>
  <si>
    <t>Malware</t>
  </si>
  <si>
    <t>Non-critical Software</t>
  </si>
  <si>
    <t>Minor bugs</t>
  </si>
  <si>
    <t>Outdated version</t>
  </si>
  <si>
    <t>Data exposure</t>
  </si>
  <si>
    <t>Risk Level Mapping:</t>
  </si>
  <si>
    <t>Score</t>
  </si>
  <si>
    <t>Level</t>
  </si>
  <si>
    <t>1–5</t>
  </si>
  <si>
    <t>Low</t>
  </si>
  <si>
    <t>6–12</t>
  </si>
  <si>
    <t>Medium</t>
  </si>
  <si>
    <t>13–25</t>
  </si>
  <si>
    <t>High</t>
  </si>
  <si>
    <t>Employee Accounts</t>
  </si>
  <si>
    <t>Password Attack</t>
  </si>
  <si>
    <t>HR System</t>
  </si>
  <si>
    <t>Insider Threat</t>
  </si>
  <si>
    <t>Excessive access rights</t>
  </si>
  <si>
    <t>Network System</t>
  </si>
  <si>
    <t>No firewall</t>
  </si>
  <si>
    <t>Old Emails</t>
  </si>
  <si>
    <t>No cleanup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</si>
</sst>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ptos Display"/>
      <family val="2"/>
      <scheme val="major"/>
    </font>
    <font>
      <sz val="11"/>
      <color theme="1"/>
      <name val="Avenir Next LT Pro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6" borderId="0" xfId="0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</cellXfs>
  <cellStyles count="1">
    <cellStyle name="Normal" xfId="0" builtinId="0"/>
  </cellStyles>
  <dxfs count="6"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A3670-43C5-456D-B764-231CAD76F781}">
  <dimension ref="A1:G15"/>
  <sheetViews>
    <sheetView tabSelected="1" workbookViewId="0">
      <selection activeCell="C2" sqref="C2"/>
    </sheetView>
  </sheetViews>
  <sheetFormatPr defaultRowHeight="13.8" x14ac:dyDescent="0.25"/>
  <cols>
    <col min="1" max="1" width="20.59765625" customWidth="1"/>
    <col min="2" max="2" width="19.796875" customWidth="1"/>
    <col min="3" max="3" width="17.69921875" style="3" customWidth="1"/>
    <col min="4" max="4" width="13.69921875" customWidth="1"/>
    <col min="5" max="5" width="15.296875" customWidth="1"/>
    <col min="6" max="6" width="21" customWidth="1"/>
    <col min="7" max="7" width="18.3984375" customWidth="1"/>
  </cols>
  <sheetData>
    <row r="1" spans="1:7" s="2" customFormat="1" ht="41.4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</row>
    <row r="2" spans="1:7" ht="14.4" x14ac:dyDescent="0.25">
      <c r="A2" s="6" t="s">
        <v>7</v>
      </c>
      <c r="B2" s="6" t="s">
        <v>8</v>
      </c>
      <c r="C2" s="6" t="s">
        <v>9</v>
      </c>
      <c r="D2" s="7">
        <v>5</v>
      </c>
      <c r="E2" s="7">
        <v>4</v>
      </c>
      <c r="F2" s="10">
        <f>D2*E2</f>
        <v>20</v>
      </c>
      <c r="G2" s="10" t="str">
        <f>IF(F2&lt;=5,"Low",IF(F2&lt;=12,"Medium","High"))</f>
        <v>High</v>
      </c>
    </row>
    <row r="3" spans="1:7" ht="14.4" x14ac:dyDescent="0.25">
      <c r="A3" s="6" t="s">
        <v>25</v>
      </c>
      <c r="B3" s="6" t="s">
        <v>26</v>
      </c>
      <c r="C3" s="6" t="s">
        <v>10</v>
      </c>
      <c r="D3" s="7">
        <v>4</v>
      </c>
      <c r="E3" s="7">
        <v>5</v>
      </c>
      <c r="F3" s="10">
        <f t="shared" ref="F3:F7" si="0">D3*E3</f>
        <v>20</v>
      </c>
      <c r="G3" s="10" t="str">
        <f t="shared" ref="G3:G7" si="1">IF(F3&lt;=5,"Low",IF(F3&lt;=12,"Medium","High"))</f>
        <v>High</v>
      </c>
    </row>
    <row r="4" spans="1:7" ht="28.8" x14ac:dyDescent="0.25">
      <c r="A4" s="6" t="s">
        <v>27</v>
      </c>
      <c r="B4" s="6" t="s">
        <v>28</v>
      </c>
      <c r="C4" s="6" t="s">
        <v>29</v>
      </c>
      <c r="D4" s="7">
        <v>4</v>
      </c>
      <c r="E4" s="7">
        <v>3</v>
      </c>
      <c r="F4" s="11">
        <f t="shared" si="0"/>
        <v>12</v>
      </c>
      <c r="G4" s="11" t="str">
        <f t="shared" si="1"/>
        <v>Medium</v>
      </c>
    </row>
    <row r="5" spans="1:7" ht="14.4" x14ac:dyDescent="0.3">
      <c r="A5" s="6" t="s">
        <v>30</v>
      </c>
      <c r="B5" s="6" t="s">
        <v>11</v>
      </c>
      <c r="C5" s="8" t="s">
        <v>31</v>
      </c>
      <c r="D5" s="7">
        <v>4</v>
      </c>
      <c r="E5" s="7">
        <v>3</v>
      </c>
      <c r="F5" s="11">
        <f t="shared" si="0"/>
        <v>12</v>
      </c>
      <c r="G5" s="12" t="str">
        <f t="shared" si="1"/>
        <v>Medium</v>
      </c>
    </row>
    <row r="6" spans="1:7" ht="14.4" x14ac:dyDescent="0.3">
      <c r="A6" s="9" t="s">
        <v>12</v>
      </c>
      <c r="B6" s="9" t="s">
        <v>13</v>
      </c>
      <c r="C6" s="9" t="s">
        <v>14</v>
      </c>
      <c r="D6" s="7">
        <v>2</v>
      </c>
      <c r="E6" s="7">
        <v>2</v>
      </c>
      <c r="F6" s="13">
        <f t="shared" si="0"/>
        <v>4</v>
      </c>
      <c r="G6" s="14" t="str">
        <f t="shared" si="1"/>
        <v>Low</v>
      </c>
    </row>
    <row r="7" spans="1:7" ht="14.4" x14ac:dyDescent="0.3">
      <c r="A7" s="9" t="s">
        <v>32</v>
      </c>
      <c r="B7" s="9" t="s">
        <v>15</v>
      </c>
      <c r="C7" s="9" t="s">
        <v>33</v>
      </c>
      <c r="D7" s="7">
        <v>1</v>
      </c>
      <c r="E7" s="7">
        <v>3</v>
      </c>
      <c r="F7" s="13">
        <f t="shared" si="0"/>
        <v>3</v>
      </c>
      <c r="G7" s="14" t="str">
        <f t="shared" si="1"/>
        <v>Low</v>
      </c>
    </row>
    <row r="10" spans="1:7" x14ac:dyDescent="0.25">
      <c r="A10" s="5" t="s">
        <v>16</v>
      </c>
    </row>
    <row r="11" spans="1:7" x14ac:dyDescent="0.25">
      <c r="A11" s="1" t="s">
        <v>17</v>
      </c>
      <c r="B11" s="1" t="s">
        <v>18</v>
      </c>
    </row>
    <row r="12" spans="1:7" ht="14.4" x14ac:dyDescent="0.25">
      <c r="A12" s="17" t="s">
        <v>19</v>
      </c>
      <c r="B12" s="18" t="s">
        <v>20</v>
      </c>
    </row>
    <row r="13" spans="1:7" ht="14.4" x14ac:dyDescent="0.25">
      <c r="A13" s="17" t="s">
        <v>21</v>
      </c>
      <c r="B13" s="19" t="s">
        <v>22</v>
      </c>
    </row>
    <row r="14" spans="1:7" ht="14.4" x14ac:dyDescent="0.25">
      <c r="A14" s="17" t="s">
        <v>23</v>
      </c>
      <c r="B14" s="20" t="s">
        <v>24</v>
      </c>
    </row>
    <row r="15" spans="1:7" x14ac:dyDescent="0.25">
      <c r="A15" s="4"/>
    </row>
  </sheetData>
  <conditionalFormatting sqref="F2:F7">
    <cfRule type="cellIs" dxfId="5" priority="7" operator="greaterThan">
      <formula>12</formula>
    </cfRule>
    <cfRule type="cellIs" dxfId="4" priority="6" operator="between">
      <formula>6</formula>
      <formula>12</formula>
    </cfRule>
    <cfRule type="cellIs" dxfId="3" priority="5" operator="lessThan">
      <formula>6</formula>
    </cfRule>
  </conditionalFormatting>
  <conditionalFormatting sqref="G2:G7">
    <cfRule type="cellIs" dxfId="2" priority="3" operator="equal">
      <formula>"High"</formula>
    </cfRule>
    <cfRule type="cellIs" dxfId="1" priority="2" operator="equal">
      <formula>"Medium"</formula>
    </cfRule>
    <cfRule type="cellIs" dxfId="0" priority="1" operator="equal">
      <formula>"Low"</formula>
    </cfRule>
  </conditionalFormatting>
  <dataValidations count="1">
    <dataValidation type="whole" allowBlank="1" showInputMessage="1" showErrorMessage="1" sqref="D1:E1048576" xr:uid="{AC062FBA-6359-482A-AE4C-D149E16A50DC}">
      <formula1>1</formula1>
      <formula2>5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lugadeatharva@outlook.com</dc:creator>
  <cp:keywords/>
  <dc:description/>
  <cp:lastModifiedBy>hp</cp:lastModifiedBy>
  <cp:revision/>
  <dcterms:created xsi:type="dcterms:W3CDTF">2026-03-17T15:28:54Z</dcterms:created>
  <dcterms:modified xsi:type="dcterms:W3CDTF">2026-03-18T12:45:30Z</dcterms:modified>
  <cp:category/>
  <cp:contentStatus/>
</cp:coreProperties>
</file>